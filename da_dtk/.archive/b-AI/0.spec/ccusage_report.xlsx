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<sst xmlns="http://schemas.openxmlformats.org/spreadsheetml/2006/main" count="128" uniqueCount="76">
  <si>
    <t xml:space="preserve"># BACK AND VARIABLES</t>
  </si>
  <si>
    <t xml:space="preserve">## TOKENS BURN RATE LIMIT</t>
  </si>
  <si>
    <t xml:space="preserve">## PRICES</t>
  </si>
  <si>
    <t xml:space="preserve">## CACHE LIMIT</t>
  </si>
  <si>
    <t xml:space="preserve">Claude</t>
  </si>
  <si>
    <t xml:space="preserve">Gemini (1)</t>
  </si>
  <si>
    <t xml:space="preserve">Claude_Haiku_4_5</t>
  </si>
  <si>
    <t xml:space="preserve">Claude_Sonnet_4_5</t>
  </si>
  <si>
    <t xml:space="preserve">Claude_Opus_4_5</t>
  </si>
  <si>
    <t xml:space="preserve">Gemini_Flash_3_0</t>
  </si>
  <si>
    <t xml:space="preserve">Gemini_Pro_3_0</t>
  </si>
  <si>
    <t xml:space="preserve">Plan</t>
  </si>
  <si>
    <t xml:space="preserve">Messages (0)</t>
  </si>
  <si>
    <t xml:space="preserve">Tokens</t>
  </si>
  <si>
    <t xml:space="preserve">Messages</t>
  </si>
  <si>
    <t xml:space="preserve">Type</t>
  </si>
  <si>
    <t xml:space="preserve">Token Type</t>
  </si>
  <si>
    <t xml:space="preserve">Price</t>
  </si>
  <si>
    <t xml:space="preserve">Max Context W</t>
  </si>
  <si>
    <t xml:space="preserve">Reset</t>
  </si>
  <si>
    <t xml:space="preserve">Cache Storage Price</t>
  </si>
  <si>
    <t xml:space="preserve">Pro (H+O+S)</t>
  </si>
  <si>
    <t xml:space="preserve">Flash_3_5</t>
  </si>
  <si>
    <t xml:space="preserve">$/1M Tokens</t>
  </si>
  <si>
    <t xml:space="preserve">Input (no Cache)</t>
  </si>
  <si>
    <t xml:space="preserve">no limit</t>
  </si>
  <si>
    <t xml:space="preserve">24h</t>
  </si>
  <si>
    <t xml:space="preserve">Max 5x (H+O+S)</t>
  </si>
  <si>
    <t xml:space="preserve">Pro_3_5</t>
  </si>
  <si>
    <t xml:space="preserve">Cache Create</t>
  </si>
  <si>
    <t xml:space="preserve">Max 20x (H+O+S)</t>
  </si>
  <si>
    <t xml:space="preserve">-</t>
  </si>
  <si>
    <t xml:space="preserve">Cache Read</t>
  </si>
  <si>
    <t xml:space="preserve">Output</t>
  </si>
  <si>
    <t xml:space="preserve">$/1M Tokens/hr</t>
  </si>
  <si>
    <t xml:space="preserve">Cache Storage</t>
  </si>
  <si>
    <t xml:space="preserve">(0) Assuming 2,000 tokens per message</t>
  </si>
  <si>
    <t xml:space="preserve">(1) Standardized with Claude by dividing it 24h window by 3, assuming 3 windows of 5h per day.</t>
  </si>
  <si>
    <t xml:space="preserve">## RAW DATA EXPORT FROM CCUSAGE JSON</t>
  </si>
  <si>
    <t xml:space="preserve">Date-time</t>
  </si>
  <si>
    <t xml:space="preserve">Model</t>
  </si>
  <si>
    <t xml:space="preserve">input</t>
  </si>
  <si>
    <t xml:space="preserve">output</t>
  </si>
  <si>
    <t xml:space="preserve">cache_read</t>
  </si>
  <si>
    <t xml:space="preserve">cache_create</t>
  </si>
  <si>
    <t xml:space="preserve">total_plan</t>
  </si>
  <si>
    <t xml:space="preserve">total_api</t>
  </si>
  <si>
    <t xml:space="preserve">cost_plan</t>
  </si>
  <si>
    <t xml:space="preserve">cost_api</t>
  </si>
  <si>
    <t xml:space="preserve">pct_plan</t>
  </si>
  <si>
    <t xml:space="preserve">time_hours</t>
  </si>
  <si>
    <t xml:space="preserve">burn_cost_12h</t>
  </si>
  <si>
    <t xml:space="preserve">burn_tokens_per_hour</t>
  </si>
  <si>
    <t xml:space="preserve">xysx</t>
  </si>
  <si>
    <t xml:space="preserve">xysz</t>
  </si>
  <si>
    <t xml:space="preserve">xyz</t>
  </si>
  <si>
    <t xml:space="preserve"># DASH</t>
  </si>
  <si>
    <t xml:space="preserve">Current Plan:</t>
  </si>
  <si>
    <t xml:space="preserve">Claude 5x</t>
  </si>
  <si>
    <t xml:space="preserve">## SESSION</t>
  </si>
  <si>
    <t xml:space="preserve">Time Started</t>
  </si>
  <si>
    <t xml:space="preserve">Time Finish</t>
  </si>
  <si>
    <t xml:space="preserve">Total</t>
  </si>
  <si>
    <t xml:space="preserve">5hrs</t>
  </si>
  <si>
    <t xml:space="preserve">Elapsed</t>
  </si>
  <si>
    <t xml:space="preserve">Remainng</t>
  </si>
  <si>
    <t xml:space="preserve">## USAGE</t>
  </si>
  <si>
    <t xml:space="preserve">Total Claude</t>
  </si>
  <si>
    <t xml:space="preserve">  - Claude_Haiku_4_5</t>
  </si>
  <si>
    <t xml:space="preserve">  - Claude_Sonnet_4_5</t>
  </si>
  <si>
    <t xml:space="preserve">  - Claude_Opus_4_5</t>
  </si>
  <si>
    <t xml:space="preserve">Total Gemini</t>
  </si>
  <si>
    <t xml:space="preserve">  - Gemini_Flash_3_0</t>
  </si>
  <si>
    <t xml:space="preserve">  - Gemini_Pro_3_0</t>
  </si>
  <si>
    <t xml:space="preserve">## PROJECTION</t>
  </si>
  <si>
    <t xml:space="preserve">## GRAPHICS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</si>
</sst>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yyyy\-mm\-dd"/>
    <numFmt numFmtId="168" formatCode="[$$-409]#,##0.00;[RED]\-[$$-409]#,##0.0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6"/>
      <color rgb="FFB2B2B2"/>
      <name val="Arial"/>
      <family val="2"/>
      <charset val="1"/>
    </font>
    <font>
      <sz val="8"/>
      <name val="Arial"/>
      <family val="2"/>
      <charset val="1"/>
    </font>
    <font>
      <b val="true"/>
      <sz val="10"/>
      <color rgb="FF2A6099"/>
      <name val="Arial"/>
      <family val="2"/>
      <charset val="1"/>
    </font>
    <font>
      <b val="true"/>
      <sz val="8"/>
      <name val="Arial"/>
      <family val="2"/>
      <charset val="1"/>
    </font>
    <font>
      <sz val="7"/>
      <name val="Arial"/>
      <family val="2"/>
      <charset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dotted"/>
      <right/>
      <top style="dotted"/>
      <bottom/>
      <diagonal/>
    </border>
    <border diagonalUp="false" diagonalDown="false">
      <left/>
      <right style="dotted"/>
      <top style="dotted"/>
      <bottom/>
      <diagonal/>
    </border>
    <border diagonalUp="false" diagonalDown="false">
      <left style="dotted"/>
      <right/>
      <top/>
      <bottom/>
      <diagonal/>
    </border>
    <border diagonalUp="false" diagonalDown="false">
      <left/>
      <right style="dotted"/>
      <top/>
      <bottom/>
      <diagonal/>
    </border>
    <border diagonalUp="false" diagonalDown="false">
      <left style="dotted"/>
      <right/>
      <top/>
      <bottom style="dotted"/>
      <diagonal/>
    </border>
    <border diagonalUp="false" diagonalDown="false">
      <left/>
      <right style="dotted"/>
      <top/>
      <bottom style="dotted"/>
      <diagonal/>
    </border>
    <border diagonalUp="false" diagonalDown="false">
      <left/>
      <right/>
      <top style="dotted"/>
      <bottom/>
      <diagonal/>
    </border>
    <border diagonalUp="false" diagonalDown="false">
      <left/>
      <right/>
      <top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503280</xdr:colOff>
      <xdr:row>85</xdr:row>
      <xdr:rowOff>137520</xdr:rowOff>
    </xdr:from>
    <xdr:to>
      <xdr:col>18</xdr:col>
      <xdr:colOff>522720</xdr:colOff>
      <xdr:row>131</xdr:row>
      <xdr:rowOff>99720</xdr:rowOff>
    </xdr:to>
    <xdr:sp>
      <xdr:nvSpPr>
        <xdr:cNvPr id="0" name="Text Frame 1"/>
        <xdr:cNvSpPr txBox="1"/>
      </xdr:nvSpPr>
      <xdr:spPr>
        <a:xfrm>
          <a:off x="503280" y="13955040"/>
          <a:ext cx="12814560" cy="7440120"/>
        </a:xfrm>
        <a:prstGeom prst="rect">
          <a:avLst/>
        </a:prstGeom>
        <a:noFill/>
        <a:ln w="0">
          <a:noFill/>
        </a:ln>
      </xdr:spPr>
      <xdr:txBody>
        <a:bodyPr lIns="0" rIns="0" tIns="0" bIns="0" anchor="t">
          <a:noAutofit/>
        </a:bodyPr>
        <a:p>
          <a:r>
            <a:rPr b="0" lang="en-US" sz="1000" spc="-1" strike="noStrike">
              <a:latin typeface="Times New Roman"/>
            </a:rPr>
            <a:t>  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│                                        </a:t>
          </a:r>
          <a:r>
            <a:rPr b="0" lang="en-US" sz="1000" spc="-1" strike="noStrike">
              <a:latin typeface="Times New Roman"/>
            </a:rPr>
            <a:t>CLAUDE CODE - LIVE TOKEN USAGE MONITOR                                        │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│                                ⚠  </a:t>
          </a:r>
          <a:r>
            <a:rPr b="0" lang="en-US" sz="1000" spc="-1" strike="noStrike">
              <a:latin typeface="Times New Roman"/>
            </a:rPr>
            <a:t>DEPRECATED - Will be removed in next major version                                │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│                                     </a:t>
          </a:r>
          <a:r>
            <a:rPr b="0" lang="en-US" sz="1000" spc="-1" strike="noStrike">
              <a:latin typeface="Times New Roman"/>
            </a:rPr>
            <a:t>Use https://claude.ai/settings/usage instead                                     │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├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┤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│                                                                                                                      │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│ ⏱ </a:t>
          </a:r>
          <a:r>
            <a:rPr b="0" lang="en-US" sz="1000" spc="-1" strike="noStrike">
              <a:latin typeface="Times New Roman"/>
            </a:rPr>
            <a:t>SESSION     [█░░░░░░░░░░░░░░░░░░░░░░░░░░░░░░░░░░░░░░░░░░░░░░░░░░░░░░░░░░░░░░░░░░░░░░]    0.9%                     │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│    </a:t>
          </a:r>
          <a:r>
            <a:rPr b="0" lang="en-US" sz="1000" spc="-1" strike="noStrike">
              <a:latin typeface="Times New Roman"/>
            </a:rPr>
            <a:t>Started: 04:00:00 PM  Elapsed: 2m  Remaining: 4h (09:00:00 PM)                                                    │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│                                                                                                                      │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├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┤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│                                                                                                                      │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│  </a:t>
          </a:r>
          <a:r>
            <a:rPr b="0" lang="en-US" sz="1000" spc="-1" strike="noStrike">
              <a:latin typeface="Times New Roman"/>
            </a:rPr>
            <a:t>USAGE       [░░░░░░░░░░░░░░░░░░░░░░░░░░░░░░░░░░░░░░░░░░░░░░░░░░░░░░░░░░░░░░░░░░░░░░░]    0.2% (147.3k/73815.8k)   │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│    </a:t>
          </a:r>
          <a:r>
            <a:rPr b="0" lang="en-US" sz="1000" spc="-1" strike="noStrike">
              <a:latin typeface="Times New Roman"/>
            </a:rPr>
            <a:t>Tokens: 147,307 (Burn Rate: 212,590 token/min ✓ NORMAL)  Limit: 73,815,751 tokens  Cost: $0.17                    │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│                                                                                                                      │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├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┤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│                                                                                                                      │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│  </a:t>
          </a:r>
          <a:r>
            <a:rPr b="0" lang="en-US" sz="1000" spc="-1" strike="noStrike">
              <a:latin typeface="Times New Roman"/>
            </a:rPr>
            <a:t>PROJECTION  [█████████████████████████████████████████████████████████████░░░░░░░░░░]   85.8% (63347.8k/73815.8k) │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│    </a:t>
          </a:r>
          <a:r>
            <a:rPr b="0" lang="en-US" sz="1000" spc="-1" strike="noStrike">
              <a:latin typeface="Times New Roman"/>
            </a:rPr>
            <a:t>Status: ⚠ APPROACHING LIMIT  Tokens: 63,347,803  Cost: $71.87                                                    │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│                                                                                                                      │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├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┤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│ ⚙  </a:t>
          </a:r>
          <a:r>
            <a:rPr b="0" lang="en-US" sz="1000" spc="-1" strike="noStrike">
              <a:latin typeface="Times New Roman"/>
            </a:rPr>
            <a:t>Models: opus-4-5                                                                                                 │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├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┤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│                                    ↻ </a:t>
          </a:r>
          <a:r>
            <a:rPr b="0" lang="en-US" sz="1000" spc="-1" strike="noStrike">
              <a:latin typeface="Times New Roman"/>
            </a:rPr>
            <a:t>Refreshing every 1s  •  Press Ctrl+C to stop                                    │ 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latin typeface="Times New Roman"/>
            </a:rPr>
            <a:t>                                  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a:t>
          </a:r>
          <a:endParaRPr b="0" lang="en-US" sz="1000" spc="-1" strike="noStrike">
            <a:latin typeface="Times New Roman"/>
          </a:endParaRPr>
        </a:p>
        <a:p>
          <a:endParaRPr b="0" lang="en-US" sz="1000" spc="-1" strike="noStrike">
            <a:latin typeface="Times New Roman"/>
          </a:endParaRPr>
        </a:p>
        <a:p>
          <a:endParaRPr b="0" lang="en-US" sz="10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AA94"/>
  <sheetViews>
    <sheetView showFormulas="false" showGridLines="false" showRowColHeaders="true" showZeros="true" rightToLeft="false" tabSelected="true" showOutlineSymbols="true" defaultGridColor="true" view="normal" topLeftCell="A51" colorId="64" zoomScale="80" zoomScaleNormal="80" zoomScalePageLayoutView="100" workbookViewId="0">
      <selection pane="topLeft" activeCell="Q79" activeCellId="0" sqref="Q79"/>
    </sheetView>
  </sheetViews>
  <sheetFormatPr defaultColWidth="10.95703125" defaultRowHeight="12.8" zeroHeight="false" outlineLevelRow="0" outlineLevelCol="0"/>
  <cols>
    <col collapsed="false" customWidth="true" hidden="false" outlineLevel="0" max="3" min="2" style="1" width="3.13"/>
    <col collapsed="false" customWidth="true" hidden="false" outlineLevel="0" max="24" min="24" style="1" width="11.53"/>
  </cols>
  <sheetData>
    <row r="1" customFormat="false" ht="12.8" hidden="false" customHeight="false" outlineLevel="0" collapsed="false">
      <c r="D1" s="2"/>
      <c r="F1" s="2"/>
      <c r="G1" s="2"/>
      <c r="M1" s="2"/>
      <c r="N1" s="2"/>
    </row>
    <row r="2" customFormat="false" ht="12.8" hidden="false" customHeight="false" outlineLevel="0" collapsed="false">
      <c r="D2" s="2"/>
      <c r="F2" s="2"/>
      <c r="G2" s="2"/>
      <c r="M2" s="2"/>
      <c r="N2" s="2"/>
    </row>
    <row r="3" customFormat="false" ht="12.8" hidden="false" customHeight="false" outlineLevel="0" collapsed="false">
      <c r="C3" s="3"/>
      <c r="D3" s="4"/>
      <c r="E3" s="5"/>
      <c r="F3" s="4"/>
      <c r="G3" s="4"/>
      <c r="H3" s="5"/>
      <c r="I3" s="5"/>
      <c r="J3" s="5"/>
      <c r="K3" s="5"/>
      <c r="L3" s="5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</row>
    <row r="4" customFormat="false" ht="12.8" hidden="false" customHeight="false" outlineLevel="0" collapsed="false">
      <c r="C4" s="7"/>
      <c r="D4" s="2" t="s">
        <v>0</v>
      </c>
      <c r="F4" s="2"/>
      <c r="G4" s="2"/>
      <c r="M4" s="2"/>
      <c r="N4" s="2"/>
      <c r="AA4" s="8"/>
    </row>
    <row r="5" customFormat="false" ht="12.8" hidden="false" customHeight="false" outlineLevel="0" collapsed="false">
      <c r="C5" s="7"/>
      <c r="D5" s="2"/>
      <c r="F5" s="2"/>
      <c r="G5" s="2"/>
      <c r="M5" s="2"/>
      <c r="N5" s="2"/>
      <c r="AA5" s="8"/>
    </row>
    <row r="6" customFormat="false" ht="12.8" hidden="false" customHeight="false" outlineLevel="0" collapsed="false">
      <c r="C6" s="7"/>
      <c r="D6" s="2" t="s">
        <v>1</v>
      </c>
      <c r="F6" s="2"/>
      <c r="G6" s="2"/>
      <c r="K6" s="2" t="s">
        <v>2</v>
      </c>
      <c r="M6" s="2"/>
      <c r="N6" s="2"/>
      <c r="S6" s="2" t="s">
        <v>3</v>
      </c>
      <c r="AA6" s="8"/>
    </row>
    <row r="7" customFormat="false" ht="12.8" hidden="false" customHeight="false" outlineLevel="0" collapsed="false">
      <c r="C7" s="7"/>
      <c r="E7" s="2" t="s">
        <v>4</v>
      </c>
      <c r="G7" s="2" t="s">
        <v>5</v>
      </c>
      <c r="M7" s="2" t="s">
        <v>6</v>
      </c>
      <c r="N7" s="2" t="s">
        <v>7</v>
      </c>
      <c r="O7" s="2" t="s">
        <v>8</v>
      </c>
      <c r="P7" s="2" t="s">
        <v>9</v>
      </c>
      <c r="Q7" s="2" t="s">
        <v>10</v>
      </c>
      <c r="T7" s="2" t="s">
        <v>4</v>
      </c>
      <c r="X7" s="2" t="s">
        <v>5</v>
      </c>
      <c r="AA7" s="8"/>
    </row>
    <row r="8" customFormat="false" ht="12.8" hidden="false" customHeight="false" outlineLevel="0" collapsed="false">
      <c r="C8" s="7"/>
      <c r="D8" s="9" t="s">
        <v>11</v>
      </c>
      <c r="E8" s="9" t="s">
        <v>12</v>
      </c>
      <c r="F8" s="9" t="s">
        <v>13</v>
      </c>
      <c r="G8" s="9" t="s">
        <v>11</v>
      </c>
      <c r="H8" s="9" t="s">
        <v>14</v>
      </c>
      <c r="I8" s="9" t="s">
        <v>13</v>
      </c>
      <c r="K8" s="9" t="s">
        <v>15</v>
      </c>
      <c r="L8" s="9" t="s">
        <v>16</v>
      </c>
      <c r="M8" s="9" t="s">
        <v>17</v>
      </c>
      <c r="N8" s="9" t="s">
        <v>17</v>
      </c>
      <c r="O8" s="9" t="s">
        <v>17</v>
      </c>
      <c r="P8" s="9" t="s">
        <v>17</v>
      </c>
      <c r="Q8" s="9" t="s">
        <v>17</v>
      </c>
      <c r="S8" s="9" t="s">
        <v>11</v>
      </c>
      <c r="T8" s="9" t="s">
        <v>18</v>
      </c>
      <c r="U8" s="9" t="s">
        <v>19</v>
      </c>
      <c r="V8" s="9" t="s">
        <v>20</v>
      </c>
      <c r="W8" s="9" t="s">
        <v>11</v>
      </c>
      <c r="X8" s="9" t="s">
        <v>18</v>
      </c>
      <c r="Y8" s="9" t="s">
        <v>19</v>
      </c>
      <c r="Z8" s="9" t="s">
        <v>20</v>
      </c>
      <c r="AA8" s="8"/>
    </row>
    <row r="9" customFormat="false" ht="12.8" hidden="false" customHeight="false" outlineLevel="0" collapsed="false">
      <c r="C9" s="7"/>
      <c r="D9" s="10" t="s">
        <v>21</v>
      </c>
      <c r="E9" s="10" t="n">
        <v>45</v>
      </c>
      <c r="F9" s="11" t="n">
        <f aca="false">2000*E9</f>
        <v>90000</v>
      </c>
      <c r="G9" s="10" t="s">
        <v>22</v>
      </c>
      <c r="H9" s="10" t="n">
        <v>166</v>
      </c>
      <c r="I9" s="11" t="n">
        <f aca="false">2000*H9</f>
        <v>332000</v>
      </c>
      <c r="K9" s="12" t="s">
        <v>23</v>
      </c>
      <c r="L9" s="10" t="s">
        <v>24</v>
      </c>
      <c r="M9" s="13" t="n">
        <v>0.8</v>
      </c>
      <c r="N9" s="13" t="n">
        <v>3</v>
      </c>
      <c r="O9" s="13" t="n">
        <v>15</v>
      </c>
      <c r="P9" s="13" t="n">
        <v>1.25</v>
      </c>
      <c r="Q9" s="13" t="n">
        <v>1.25</v>
      </c>
      <c r="S9" s="10" t="s">
        <v>21</v>
      </c>
      <c r="T9" s="11" t="n">
        <v>200000</v>
      </c>
      <c r="U9" s="10" t="s">
        <v>25</v>
      </c>
      <c r="V9" s="13" t="n">
        <f aca="false">M13</f>
        <v>0.01</v>
      </c>
      <c r="W9" s="10" t="s">
        <v>9</v>
      </c>
      <c r="X9" s="13" t="n">
        <v>1000000</v>
      </c>
      <c r="Y9" s="10" t="s">
        <v>26</v>
      </c>
      <c r="Z9" s="14" t="n">
        <f aca="false">P13</f>
        <v>1</v>
      </c>
      <c r="AA9" s="8"/>
    </row>
    <row r="10" customFormat="false" ht="12.8" hidden="false" customHeight="false" outlineLevel="0" collapsed="false">
      <c r="C10" s="7"/>
      <c r="D10" s="10" t="s">
        <v>27</v>
      </c>
      <c r="E10" s="10" t="n">
        <v>225</v>
      </c>
      <c r="F10" s="11" t="n">
        <f aca="false">2000*E10</f>
        <v>450000</v>
      </c>
      <c r="G10" s="10" t="s">
        <v>28</v>
      </c>
      <c r="H10" s="10" t="n">
        <v>33</v>
      </c>
      <c r="I10" s="11" t="n">
        <f aca="false">2000*H10</f>
        <v>66000</v>
      </c>
      <c r="K10" s="12" t="s">
        <v>23</v>
      </c>
      <c r="L10" s="10" t="s">
        <v>29</v>
      </c>
      <c r="M10" s="13" t="n">
        <v>1</v>
      </c>
      <c r="N10" s="13" t="n">
        <v>3.75</v>
      </c>
      <c r="O10" s="13" t="n">
        <v>18.75</v>
      </c>
      <c r="P10" s="13" t="n">
        <v>1.25</v>
      </c>
      <c r="Q10" s="13" t="n">
        <v>1.25</v>
      </c>
      <c r="T10" s="11"/>
      <c r="W10" s="10" t="s">
        <v>10</v>
      </c>
      <c r="X10" s="13" t="n">
        <v>1000000</v>
      </c>
      <c r="Y10" s="10" t="s">
        <v>26</v>
      </c>
      <c r="Z10" s="14" t="n">
        <f aca="false">Q13</f>
        <v>4.5</v>
      </c>
      <c r="AA10" s="8"/>
    </row>
    <row r="11" customFormat="false" ht="12.8" hidden="false" customHeight="false" outlineLevel="0" collapsed="false">
      <c r="C11" s="7"/>
      <c r="D11" s="10" t="s">
        <v>30</v>
      </c>
      <c r="E11" s="10" t="n">
        <v>900</v>
      </c>
      <c r="F11" s="11" t="n">
        <f aca="false">2000*E11</f>
        <v>1800000</v>
      </c>
      <c r="G11" s="10" t="s">
        <v>31</v>
      </c>
      <c r="I11" s="10" t="s">
        <v>31</v>
      </c>
      <c r="K11" s="12" t="s">
        <v>23</v>
      </c>
      <c r="L11" s="10" t="s">
        <v>32</v>
      </c>
      <c r="M11" s="13" t="n">
        <v>0.08</v>
      </c>
      <c r="N11" s="13" t="n">
        <v>0.3</v>
      </c>
      <c r="O11" s="13" t="n">
        <v>1.5</v>
      </c>
      <c r="P11" s="13" t="n">
        <v>0.31</v>
      </c>
      <c r="Q11" s="13" t="n">
        <v>0.31</v>
      </c>
      <c r="T11" s="11"/>
      <c r="X11" s="10" t="s">
        <v>31</v>
      </c>
      <c r="Y11" s="10" t="s">
        <v>26</v>
      </c>
      <c r="AA11" s="8"/>
    </row>
    <row r="12" customFormat="false" ht="12.8" hidden="false" customHeight="false" outlineLevel="0" collapsed="false">
      <c r="C12" s="7"/>
      <c r="K12" s="12" t="s">
        <v>23</v>
      </c>
      <c r="L12" s="10" t="s">
        <v>33</v>
      </c>
      <c r="M12" s="13" t="n">
        <v>4</v>
      </c>
      <c r="N12" s="13" t="n">
        <v>15</v>
      </c>
      <c r="O12" s="13" t="n">
        <v>75</v>
      </c>
      <c r="P12" s="13" t="n">
        <v>5</v>
      </c>
      <c r="Q12" s="13" t="n">
        <v>5</v>
      </c>
      <c r="AA12" s="8"/>
    </row>
    <row r="13" customFormat="false" ht="12.8" hidden="false" customHeight="false" outlineLevel="0" collapsed="false">
      <c r="C13" s="7"/>
      <c r="K13" s="12" t="s">
        <v>34</v>
      </c>
      <c r="L13" s="10" t="s">
        <v>35</v>
      </c>
      <c r="M13" s="13" t="n">
        <v>0.01</v>
      </c>
      <c r="N13" s="13" t="n">
        <v>0.01</v>
      </c>
      <c r="O13" s="13" t="n">
        <v>0.01</v>
      </c>
      <c r="P13" s="13" t="n">
        <v>1</v>
      </c>
      <c r="Q13" s="13" t="n">
        <v>4.5</v>
      </c>
      <c r="AA13" s="8"/>
    </row>
    <row r="14" customFormat="false" ht="12.8" hidden="false" customHeight="false" outlineLevel="0" collapsed="false">
      <c r="C14" s="7"/>
      <c r="D14" s="15" t="s">
        <v>36</v>
      </c>
      <c r="K14" s="12"/>
      <c r="M14" s="13"/>
      <c r="N14" s="13"/>
      <c r="O14" s="13"/>
      <c r="P14" s="13"/>
      <c r="Q14" s="13"/>
      <c r="AA14" s="8"/>
    </row>
    <row r="15" customFormat="false" ht="12.8" hidden="false" customHeight="false" outlineLevel="0" collapsed="false">
      <c r="C15" s="7"/>
      <c r="D15" s="15" t="s">
        <v>37</v>
      </c>
      <c r="AA15" s="8"/>
    </row>
    <row r="16" customFormat="false" ht="12.8" hidden="false" customHeight="false" outlineLevel="0" collapsed="false">
      <c r="C16" s="7"/>
      <c r="D16" s="15"/>
      <c r="AA16" s="8"/>
    </row>
    <row r="17" customFormat="false" ht="12.8" hidden="false" customHeight="false" outlineLevel="0" collapsed="false">
      <c r="C17" s="7"/>
      <c r="D17" s="15"/>
      <c r="AA17" s="8"/>
    </row>
    <row r="18" customFormat="false" ht="12.8" hidden="false" customHeight="false" outlineLevel="0" collapsed="false">
      <c r="C18" s="7"/>
      <c r="D18" s="2" t="s">
        <v>38</v>
      </c>
      <c r="AA18" s="8"/>
    </row>
    <row r="19" customFormat="false" ht="12.8" hidden="false" customHeight="false" outlineLevel="0" collapsed="false">
      <c r="C19" s="7"/>
      <c r="D19" s="9" t="s">
        <v>39</v>
      </c>
      <c r="E19" s="9" t="s">
        <v>40</v>
      </c>
      <c r="F19" s="9" t="s">
        <v>41</v>
      </c>
      <c r="G19" s="9" t="s">
        <v>42</v>
      </c>
      <c r="H19" s="9" t="s">
        <v>43</v>
      </c>
      <c r="I19" s="9" t="s">
        <v>44</v>
      </c>
      <c r="J19" s="16" t="s">
        <v>45</v>
      </c>
      <c r="K19" s="17" t="s">
        <v>46</v>
      </c>
      <c r="L19" s="16" t="s">
        <v>47</v>
      </c>
      <c r="M19" s="9" t="s">
        <v>48</v>
      </c>
      <c r="N19" s="16" t="s">
        <v>49</v>
      </c>
      <c r="O19" s="9" t="s">
        <v>50</v>
      </c>
      <c r="P19" s="16" t="s">
        <v>51</v>
      </c>
      <c r="Q19" s="9" t="s">
        <v>52</v>
      </c>
      <c r="AA19" s="8"/>
    </row>
    <row r="20" customFormat="false" ht="12.8" hidden="false" customHeight="false" outlineLevel="0" collapsed="false">
      <c r="C20" s="7"/>
      <c r="D20" s="18" t="n">
        <v>45974</v>
      </c>
      <c r="E20" s="1" t="s">
        <v>53</v>
      </c>
      <c r="F20" s="11" t="n">
        <v>13063</v>
      </c>
      <c r="G20" s="11" t="n">
        <v>166424</v>
      </c>
      <c r="H20" s="11" t="n">
        <v>18842908</v>
      </c>
      <c r="I20" s="11" t="n">
        <v>1394267</v>
      </c>
      <c r="J20" s="19" t="n">
        <v>179487</v>
      </c>
      <c r="K20" s="20" t="n">
        <v>20416662</v>
      </c>
      <c r="L20" s="21" t="n">
        <v>2.54</v>
      </c>
      <c r="M20" s="22" t="n">
        <v>13.39</v>
      </c>
      <c r="N20" s="19" t="n">
        <v>26.6</v>
      </c>
      <c r="O20" s="11" t="n">
        <v>5.7</v>
      </c>
      <c r="P20" s="21" t="n">
        <v>5.37</v>
      </c>
      <c r="Q20" s="11" t="n">
        <v>31672</v>
      </c>
      <c r="AA20" s="8"/>
    </row>
    <row r="21" customFormat="false" ht="12.8" hidden="false" customHeight="false" outlineLevel="0" collapsed="false">
      <c r="C21" s="7"/>
      <c r="D21" s="18" t="n">
        <v>45975</v>
      </c>
      <c r="E21" s="1" t="s">
        <v>54</v>
      </c>
      <c r="F21" s="11" t="n">
        <v>22223</v>
      </c>
      <c r="G21" s="11" t="n">
        <v>185250</v>
      </c>
      <c r="H21" s="11" t="n">
        <v>24816417</v>
      </c>
      <c r="I21" s="11" t="n">
        <v>2257786</v>
      </c>
      <c r="J21" s="19" t="n">
        <v>207473</v>
      </c>
      <c r="K21" s="20" t="n">
        <v>27281676</v>
      </c>
      <c r="L21" s="21" t="n">
        <v>2.85</v>
      </c>
      <c r="M21" s="22" t="n">
        <v>18.74</v>
      </c>
      <c r="N21" s="19" t="n">
        <v>30.7</v>
      </c>
      <c r="O21" s="11" t="n">
        <v>7.3</v>
      </c>
      <c r="P21" s="21" t="n">
        <v>4.69</v>
      </c>
      <c r="Q21" s="11" t="n">
        <v>28498</v>
      </c>
      <c r="AA21" s="8"/>
    </row>
    <row r="22" customFormat="false" ht="12.8" hidden="false" customHeight="false" outlineLevel="0" collapsed="false">
      <c r="C22" s="7"/>
      <c r="D22" s="18" t="n">
        <v>45976</v>
      </c>
      <c r="E22" s="1" t="s">
        <v>55</v>
      </c>
      <c r="F22" s="11" t="n">
        <v>43786</v>
      </c>
      <c r="G22" s="11" t="n">
        <v>168350</v>
      </c>
      <c r="H22" s="11" t="n">
        <v>25089929</v>
      </c>
      <c r="I22" s="11" t="n">
        <v>2096877</v>
      </c>
      <c r="J22" s="19" t="n">
        <v>212136</v>
      </c>
      <c r="K22" s="20" t="n">
        <v>27398942</v>
      </c>
      <c r="L22" s="21" t="n">
        <v>2.66</v>
      </c>
      <c r="M22" s="22" t="n">
        <v>18.01</v>
      </c>
      <c r="N22" s="19" t="n">
        <v>31.4</v>
      </c>
      <c r="O22" s="11" t="n">
        <v>5.3</v>
      </c>
      <c r="P22" s="21" t="n">
        <v>6.07</v>
      </c>
      <c r="Q22" s="11" t="n">
        <v>40358</v>
      </c>
      <c r="AA22" s="8"/>
    </row>
    <row r="23" customFormat="false" ht="12.8" hidden="false" customHeight="false" outlineLevel="0" collapsed="false">
      <c r="C23" s="7"/>
      <c r="AA23" s="8"/>
    </row>
    <row r="24" customFormat="false" ht="12.8" hidden="false" customHeight="false" outlineLevel="0" collapsed="false">
      <c r="C24" s="7"/>
      <c r="AA24" s="8"/>
    </row>
    <row r="25" customFormat="false" ht="12.8" hidden="false" customHeight="false" outlineLevel="0" collapsed="false">
      <c r="C25" s="7"/>
      <c r="AA25" s="8"/>
    </row>
    <row r="26" customFormat="false" ht="12.8" hidden="false" customHeight="false" outlineLevel="0" collapsed="false">
      <c r="C26" s="23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</row>
    <row r="31" customFormat="false" ht="12.8" hidden="false" customHeight="false" outlineLevel="0" collapsed="false">
      <c r="C31" s="3"/>
      <c r="D31" s="2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6"/>
    </row>
    <row r="32" customFormat="false" ht="12.8" hidden="false" customHeight="false" outlineLevel="0" collapsed="false">
      <c r="C32" s="7"/>
      <c r="D32" s="2" t="s">
        <v>56</v>
      </c>
      <c r="P32" s="8"/>
    </row>
    <row r="33" customFormat="false" ht="12.8" hidden="false" customHeight="false" outlineLevel="0" collapsed="false">
      <c r="C33" s="7"/>
      <c r="P33" s="8"/>
    </row>
    <row r="34" customFormat="false" ht="12.8" hidden="false" customHeight="false" outlineLevel="0" collapsed="false">
      <c r="C34" s="7"/>
      <c r="D34" s="1" t="s">
        <v>57</v>
      </c>
      <c r="E34" s="1" t="s">
        <v>58</v>
      </c>
      <c r="P34" s="8"/>
    </row>
    <row r="35" customFormat="false" ht="12.8" hidden="false" customHeight="false" outlineLevel="0" collapsed="false">
      <c r="C35" s="7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27"/>
    </row>
    <row r="36" customFormat="false" ht="12.8" hidden="false" customHeight="false" outlineLevel="0" collapsed="false">
      <c r="C36" s="7"/>
      <c r="D36" s="28" t="s">
        <v>59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27"/>
    </row>
    <row r="37" customFormat="false" ht="12.8" hidden="false" customHeight="false" outlineLevel="0" collapsed="false">
      <c r="C37" s="7"/>
      <c r="D37" s="29" t="s">
        <v>60</v>
      </c>
      <c r="E37" s="30"/>
      <c r="K37" s="15"/>
      <c r="L37" s="15"/>
      <c r="M37" s="15"/>
      <c r="N37" s="15"/>
      <c r="O37" s="15"/>
      <c r="P37" s="27"/>
    </row>
    <row r="38" customFormat="false" ht="12.8" hidden="false" customHeight="false" outlineLevel="0" collapsed="false">
      <c r="C38" s="7"/>
      <c r="D38" s="31" t="s">
        <v>61</v>
      </c>
      <c r="E38" s="32"/>
      <c r="J38" s="15"/>
      <c r="K38" s="15"/>
      <c r="L38" s="15"/>
      <c r="M38" s="15"/>
      <c r="N38" s="15"/>
      <c r="O38" s="15"/>
      <c r="P38" s="27"/>
    </row>
    <row r="39" customFormat="false" ht="12.8" hidden="false" customHeight="false" outlineLevel="0" collapsed="false">
      <c r="C39" s="7"/>
      <c r="D39" s="33" t="s">
        <v>62</v>
      </c>
      <c r="E39" s="32" t="s">
        <v>63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27"/>
    </row>
    <row r="40" customFormat="false" ht="12.8" hidden="false" customHeight="false" outlineLevel="0" collapsed="false">
      <c r="C40" s="7"/>
      <c r="D40" s="33" t="s">
        <v>64</v>
      </c>
      <c r="E40" s="32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27"/>
    </row>
    <row r="41" customFormat="false" ht="12.8" hidden="false" customHeight="false" outlineLevel="0" collapsed="false">
      <c r="C41" s="7"/>
      <c r="D41" s="34" t="s">
        <v>65</v>
      </c>
      <c r="E41" s="3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27"/>
    </row>
    <row r="42" customFormat="false" ht="12.8" hidden="false" customHeight="false" outlineLevel="0" collapsed="false">
      <c r="C42" s="7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27"/>
    </row>
    <row r="43" customFormat="false" ht="12.8" hidden="false" customHeight="false" outlineLevel="0" collapsed="false">
      <c r="C43" s="7"/>
      <c r="D43" s="28" t="s">
        <v>66</v>
      </c>
      <c r="J43" s="15"/>
      <c r="K43" s="15"/>
      <c r="L43" s="15"/>
      <c r="M43" s="15"/>
      <c r="N43" s="15"/>
      <c r="O43" s="15"/>
      <c r="P43" s="27"/>
    </row>
    <row r="44" customFormat="false" ht="12.8" hidden="false" customHeight="false" outlineLevel="0" collapsed="false">
      <c r="C44" s="7"/>
      <c r="D44" s="29"/>
      <c r="E44" s="36" t="s">
        <v>24</v>
      </c>
      <c r="F44" s="36" t="s">
        <v>29</v>
      </c>
      <c r="G44" s="36" t="s">
        <v>32</v>
      </c>
      <c r="H44" s="36" t="s">
        <v>33</v>
      </c>
      <c r="I44" s="36" t="s">
        <v>35</v>
      </c>
      <c r="J44" s="36" t="s">
        <v>46</v>
      </c>
      <c r="K44" s="36" t="s">
        <v>45</v>
      </c>
      <c r="L44" s="37" t="s">
        <v>47</v>
      </c>
      <c r="M44" s="38" t="s">
        <v>48</v>
      </c>
      <c r="N44" s="37" t="s">
        <v>51</v>
      </c>
      <c r="O44" s="39" t="s">
        <v>52</v>
      </c>
      <c r="P44" s="8"/>
    </row>
    <row r="45" customFormat="false" ht="12.8" hidden="false" customHeight="false" outlineLevel="0" collapsed="false">
      <c r="C45" s="7"/>
      <c r="D45" s="31" t="s">
        <v>67</v>
      </c>
      <c r="E45" s="15"/>
      <c r="F45" s="15"/>
      <c r="H45" s="15"/>
      <c r="I45" s="15"/>
      <c r="J45" s="15"/>
      <c r="K45" s="15"/>
      <c r="L45" s="15"/>
      <c r="M45" s="15"/>
      <c r="N45" s="15"/>
      <c r="O45" s="40"/>
      <c r="P45" s="27"/>
    </row>
    <row r="46" customFormat="false" ht="12.8" hidden="false" customHeight="false" outlineLevel="0" collapsed="false">
      <c r="C46" s="7"/>
      <c r="D46" s="41" t="s">
        <v>68</v>
      </c>
      <c r="E46" s="15"/>
      <c r="F46" s="15"/>
      <c r="H46" s="15"/>
      <c r="I46" s="15"/>
      <c r="J46" s="15"/>
      <c r="K46" s="15"/>
      <c r="L46" s="15"/>
      <c r="M46" s="15"/>
      <c r="N46" s="15"/>
      <c r="O46" s="40"/>
      <c r="P46" s="27"/>
    </row>
    <row r="47" customFormat="false" ht="12.8" hidden="false" customHeight="false" outlineLevel="0" collapsed="false">
      <c r="C47" s="7"/>
      <c r="D47" s="41" t="s">
        <v>69</v>
      </c>
      <c r="E47" s="15"/>
      <c r="F47" s="15"/>
      <c r="H47" s="15"/>
      <c r="I47" s="15"/>
      <c r="J47" s="15"/>
      <c r="K47" s="15"/>
      <c r="L47" s="15"/>
      <c r="M47" s="15"/>
      <c r="N47" s="15"/>
      <c r="O47" s="40"/>
      <c r="P47" s="27"/>
    </row>
    <row r="48" customFormat="false" ht="12.8" hidden="false" customHeight="false" outlineLevel="0" collapsed="false">
      <c r="C48" s="7"/>
      <c r="D48" s="41" t="s">
        <v>70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40"/>
      <c r="P48" s="27"/>
    </row>
    <row r="49" customFormat="false" ht="12.8" hidden="false" customHeight="false" outlineLevel="0" collapsed="false">
      <c r="C49" s="7"/>
      <c r="D49" s="31" t="s">
        <v>71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40"/>
      <c r="P49" s="27"/>
    </row>
    <row r="50" customFormat="false" ht="12.8" hidden="false" customHeight="false" outlineLevel="0" collapsed="false">
      <c r="C50" s="7"/>
      <c r="D50" s="41" t="s">
        <v>72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40"/>
      <c r="P50" s="27"/>
    </row>
    <row r="51" customFormat="false" ht="12.8" hidden="false" customHeight="false" outlineLevel="0" collapsed="false">
      <c r="C51" s="7"/>
      <c r="D51" s="42" t="s">
        <v>73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35"/>
      <c r="P51" s="27"/>
    </row>
    <row r="52" customFormat="false" ht="12.8" hidden="false" customHeight="false" outlineLevel="0" collapsed="false">
      <c r="C52" s="7"/>
      <c r="E52" s="15"/>
      <c r="F52" s="15"/>
      <c r="G52" s="15"/>
      <c r="H52" s="15"/>
      <c r="I52" s="15"/>
      <c r="J52" s="15"/>
      <c r="P52" s="8"/>
    </row>
    <row r="53" customFormat="false" ht="12.8" hidden="false" customHeight="false" outlineLevel="0" collapsed="false">
      <c r="C53" s="7"/>
      <c r="D53" s="15"/>
      <c r="E53" s="15"/>
      <c r="F53" s="15"/>
      <c r="G53" s="15"/>
      <c r="H53" s="15"/>
      <c r="I53" s="15"/>
      <c r="P53" s="8"/>
    </row>
    <row r="54" customFormat="false" ht="12.8" hidden="false" customHeight="false" outlineLevel="0" collapsed="false">
      <c r="C54" s="7"/>
      <c r="D54" s="28" t="s">
        <v>74</v>
      </c>
      <c r="P54" s="8"/>
    </row>
    <row r="55" customFormat="false" ht="12.8" hidden="false" customHeight="false" outlineLevel="0" collapsed="false">
      <c r="C55" s="7"/>
      <c r="D55" s="29"/>
      <c r="E55" s="36" t="s">
        <v>24</v>
      </c>
      <c r="F55" s="36" t="s">
        <v>29</v>
      </c>
      <c r="G55" s="36" t="s">
        <v>32</v>
      </c>
      <c r="H55" s="36" t="s">
        <v>33</v>
      </c>
      <c r="I55" s="36" t="s">
        <v>35</v>
      </c>
      <c r="J55" s="36" t="s">
        <v>46</v>
      </c>
      <c r="K55" s="36" t="s">
        <v>45</v>
      </c>
      <c r="L55" s="37" t="s">
        <v>47</v>
      </c>
      <c r="M55" s="38" t="s">
        <v>48</v>
      </c>
      <c r="N55" s="37" t="s">
        <v>51</v>
      </c>
      <c r="O55" s="39" t="s">
        <v>52</v>
      </c>
      <c r="P55" s="8"/>
    </row>
    <row r="56" customFormat="false" ht="12.8" hidden="false" customHeight="false" outlineLevel="0" collapsed="false">
      <c r="C56" s="7"/>
      <c r="D56" s="31" t="s">
        <v>67</v>
      </c>
      <c r="O56" s="32"/>
      <c r="P56" s="8"/>
    </row>
    <row r="57" customFormat="false" ht="12.8" hidden="false" customHeight="false" outlineLevel="0" collapsed="false">
      <c r="C57" s="7"/>
      <c r="D57" s="41" t="s">
        <v>68</v>
      </c>
      <c r="O57" s="32"/>
      <c r="P57" s="8"/>
    </row>
    <row r="58" customFormat="false" ht="12.8" hidden="false" customHeight="false" outlineLevel="0" collapsed="false">
      <c r="C58" s="7"/>
      <c r="D58" s="41" t="s">
        <v>69</v>
      </c>
      <c r="O58" s="32"/>
      <c r="P58" s="8"/>
    </row>
    <row r="59" customFormat="false" ht="12.8" hidden="false" customHeight="false" outlineLevel="0" collapsed="false">
      <c r="C59" s="7"/>
      <c r="D59" s="41" t="s">
        <v>70</v>
      </c>
      <c r="O59" s="32"/>
      <c r="P59" s="8"/>
    </row>
    <row r="60" customFormat="false" ht="12.8" hidden="false" customHeight="false" outlineLevel="0" collapsed="false">
      <c r="C60" s="7"/>
      <c r="D60" s="31" t="s">
        <v>71</v>
      </c>
      <c r="O60" s="32"/>
      <c r="P60" s="8"/>
    </row>
    <row r="61" customFormat="false" ht="12.8" hidden="false" customHeight="false" outlineLevel="0" collapsed="false">
      <c r="C61" s="7"/>
      <c r="D61" s="41" t="s">
        <v>72</v>
      </c>
      <c r="O61" s="32"/>
      <c r="P61" s="8"/>
    </row>
    <row r="62" customFormat="false" ht="12.8" hidden="false" customHeight="false" outlineLevel="0" collapsed="false">
      <c r="C62" s="7"/>
      <c r="D62" s="42" t="s">
        <v>73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5"/>
      <c r="P62" s="8"/>
    </row>
    <row r="63" customFormat="false" ht="12.8" hidden="false" customHeight="false" outlineLevel="0" collapsed="false">
      <c r="C63" s="7"/>
      <c r="P63" s="8"/>
    </row>
    <row r="64" customFormat="false" ht="12.8" hidden="false" customHeight="false" outlineLevel="0" collapsed="false">
      <c r="C64" s="7"/>
      <c r="P64" s="8"/>
    </row>
    <row r="65" customFormat="false" ht="12.8" hidden="false" customHeight="false" outlineLevel="0" collapsed="false">
      <c r="C65" s="7"/>
      <c r="P65" s="8"/>
    </row>
    <row r="66" customFormat="false" ht="12.8" hidden="false" customHeight="false" outlineLevel="0" collapsed="false">
      <c r="C66" s="7"/>
      <c r="D66" s="28" t="s">
        <v>75</v>
      </c>
      <c r="P66" s="8"/>
    </row>
    <row r="67" customFormat="false" ht="12.8" hidden="false" customHeight="false" outlineLevel="0" collapsed="false">
      <c r="C67" s="7"/>
      <c r="D67" s="29"/>
      <c r="E67" s="46"/>
      <c r="F67" s="46"/>
      <c r="G67" s="46"/>
      <c r="H67" s="46"/>
      <c r="I67" s="46"/>
      <c r="J67" s="46"/>
      <c r="K67" s="46"/>
      <c r="L67" s="46"/>
      <c r="M67" s="30"/>
      <c r="P67" s="8"/>
    </row>
    <row r="68" customFormat="false" ht="12.8" hidden="false" customHeight="false" outlineLevel="0" collapsed="false">
      <c r="C68" s="7"/>
      <c r="D68" s="31"/>
      <c r="E68" s="47"/>
      <c r="F68" s="47"/>
      <c r="G68" s="47"/>
      <c r="M68" s="32"/>
      <c r="P68" s="8"/>
    </row>
    <row r="69" customFormat="false" ht="12.8" hidden="false" customHeight="false" outlineLevel="0" collapsed="false">
      <c r="C69" s="7"/>
      <c r="D69" s="31"/>
      <c r="E69" s="47"/>
      <c r="F69" s="47"/>
      <c r="G69" s="47"/>
      <c r="M69" s="32"/>
      <c r="P69" s="8"/>
    </row>
    <row r="70" customFormat="false" ht="12.8" hidden="false" customHeight="false" outlineLevel="0" collapsed="false">
      <c r="C70" s="7"/>
      <c r="D70" s="31"/>
      <c r="E70" s="47"/>
      <c r="F70" s="47"/>
      <c r="G70" s="47"/>
      <c r="M70" s="32"/>
      <c r="P70" s="8"/>
    </row>
    <row r="71" customFormat="false" ht="12.8" hidden="false" customHeight="false" outlineLevel="0" collapsed="false">
      <c r="C71" s="7"/>
      <c r="D71" s="31"/>
      <c r="E71" s="47"/>
      <c r="F71" s="47"/>
      <c r="G71" s="47"/>
      <c r="M71" s="32"/>
      <c r="P71" s="8"/>
    </row>
    <row r="72" customFormat="false" ht="12.8" hidden="false" customHeight="false" outlineLevel="0" collapsed="false">
      <c r="C72" s="7"/>
      <c r="D72" s="31"/>
      <c r="E72" s="47"/>
      <c r="F72" s="47"/>
      <c r="G72" s="47"/>
      <c r="M72" s="32"/>
      <c r="P72" s="8"/>
    </row>
    <row r="73" customFormat="false" ht="12.8" hidden="false" customHeight="false" outlineLevel="0" collapsed="false">
      <c r="C73" s="7"/>
      <c r="D73" s="31"/>
      <c r="M73" s="32"/>
      <c r="P73" s="8"/>
    </row>
    <row r="74" customFormat="false" ht="12.8" hidden="false" customHeight="false" outlineLevel="0" collapsed="false">
      <c r="C74" s="7"/>
      <c r="D74" s="31"/>
      <c r="M74" s="32"/>
      <c r="P74" s="8"/>
    </row>
    <row r="75" customFormat="false" ht="12.8" hidden="false" customHeight="false" outlineLevel="0" collapsed="false">
      <c r="C75" s="7"/>
      <c r="D75" s="31"/>
      <c r="M75" s="32"/>
      <c r="P75" s="8"/>
    </row>
    <row r="76" customFormat="false" ht="12.8" hidden="false" customHeight="false" outlineLevel="0" collapsed="false">
      <c r="C76" s="7"/>
      <c r="D76" s="31"/>
      <c r="E76" s="47"/>
      <c r="F76" s="47"/>
      <c r="G76" s="47"/>
      <c r="M76" s="32"/>
      <c r="P76" s="8"/>
    </row>
    <row r="77" customFormat="false" ht="12.8" hidden="false" customHeight="false" outlineLevel="0" collapsed="false">
      <c r="C77" s="7"/>
      <c r="D77" s="31"/>
      <c r="E77" s="47"/>
      <c r="F77" s="47"/>
      <c r="G77" s="47"/>
      <c r="M77" s="32"/>
      <c r="P77" s="8"/>
    </row>
    <row r="78" customFormat="false" ht="12.8" hidden="false" customHeight="false" outlineLevel="0" collapsed="false">
      <c r="C78" s="7"/>
      <c r="D78" s="31"/>
      <c r="E78" s="47"/>
      <c r="F78" s="47"/>
      <c r="G78" s="47"/>
      <c r="M78" s="32"/>
      <c r="P78" s="8"/>
    </row>
    <row r="79" customFormat="false" ht="12.8" hidden="false" customHeight="false" outlineLevel="0" collapsed="false">
      <c r="C79" s="7"/>
      <c r="D79" s="31"/>
      <c r="E79" s="47"/>
      <c r="F79" s="47"/>
      <c r="G79" s="47"/>
      <c r="M79" s="32"/>
      <c r="P79" s="8"/>
    </row>
    <row r="80" customFormat="false" ht="12.8" hidden="false" customHeight="false" outlineLevel="0" collapsed="false">
      <c r="C80" s="7"/>
      <c r="D80" s="31"/>
      <c r="E80" s="47"/>
      <c r="F80" s="47"/>
      <c r="G80" s="47"/>
      <c r="M80" s="32"/>
      <c r="P80" s="8"/>
    </row>
    <row r="81" customFormat="false" ht="12.8" hidden="false" customHeight="false" outlineLevel="0" collapsed="false">
      <c r="C81" s="7"/>
      <c r="D81" s="31"/>
      <c r="M81" s="32"/>
      <c r="P81" s="8"/>
    </row>
    <row r="82" customFormat="false" ht="12.8" hidden="false" customHeight="false" outlineLevel="0" collapsed="false">
      <c r="C82" s="7"/>
      <c r="D82" s="48"/>
      <c r="E82" s="44"/>
      <c r="F82" s="44"/>
      <c r="G82" s="44"/>
      <c r="H82" s="44"/>
      <c r="I82" s="44"/>
      <c r="J82" s="44"/>
      <c r="K82" s="44"/>
      <c r="L82" s="44"/>
      <c r="M82" s="45"/>
      <c r="P82" s="8"/>
    </row>
    <row r="83" customFormat="false" ht="12.8" hidden="false" customHeight="false" outlineLevel="0" collapsed="false">
      <c r="C83" s="7"/>
      <c r="P83" s="8"/>
    </row>
    <row r="84" customFormat="false" ht="12.8" hidden="false" customHeight="false" outlineLevel="0" collapsed="false">
      <c r="C84" s="7"/>
      <c r="P84" s="8"/>
    </row>
    <row r="85" customFormat="false" ht="12.8" hidden="false" customHeight="false" outlineLevel="0" collapsed="false">
      <c r="C85" s="23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5"/>
    </row>
    <row r="94" customFormat="false" ht="12.8" hidden="false" customHeight="false" outlineLevel="0" collapsed="false">
      <c r="F94" s="4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2025-12-05T16:06:46Z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